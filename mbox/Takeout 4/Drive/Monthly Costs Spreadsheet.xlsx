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Costs" sheetId="1" r:id="rId5"/>
    <sheet state="visible" name="Pie Chart Spending Distribution" sheetId="2" r:id="rId6"/>
    <sheet state="visible" name="Bar Chart Spending Distribution" sheetId="3" r:id="rId7"/>
  </sheets>
  <definedNames>
    <definedName hidden="1" localSheetId="0" name="Z_59B19B48_0784_49DA_87EE_3D2F031A0DD7_.wvu.FilterData">'Monthly Costs'!$A$1:$J$14</definedName>
    <definedName hidden="1" localSheetId="0" name="Z_A611617D_3EB8_4193_BFC7_0E1CD3B7C558_.wvu.FilterData">'Monthly Costs'!$A$1:$J$14</definedName>
  </definedNames>
  <calcPr/>
  <customWorkbookViews>
    <customWorkbookView activeSheetId="0" maximized="1" windowHeight="0" windowWidth="0" guid="{59B19B48-0784-49DA-87EE-3D2F031A0DD7}" name="Group by Payment Status"/>
    <customWorkbookView activeSheetId="0" maximized="1" windowHeight="0" windowWidth="0" guid="{A611617D-3EB8-4193-BFC7-0E1CD3B7C558}" name="Group by Payment Status [2]"/>
  </customWorkbookViews>
</workbook>
</file>

<file path=xl/sharedStrings.xml><?xml version="1.0" encoding="utf-8"?>
<sst xmlns="http://schemas.openxmlformats.org/spreadsheetml/2006/main" count="61" uniqueCount="40">
  <si>
    <t>Month</t>
  </si>
  <si>
    <t>Category</t>
  </si>
  <si>
    <t>Service/Vendor</t>
  </si>
  <si>
    <t>Cost (USD)</t>
  </si>
  <si>
    <t>Payment Status</t>
  </si>
  <si>
    <t>Notes</t>
  </si>
  <si>
    <t>Total Monthly Cost</t>
  </si>
  <si>
    <t>Utility Total Cost</t>
  </si>
  <si>
    <t>Software Total Cost</t>
  </si>
  <si>
    <t>Infrastructure Total Cost</t>
  </si>
  <si>
    <t>Utility</t>
  </si>
  <si>
    <t>Office Cleaning</t>
  </si>
  <si>
    <t>Monthly charges for office cleaning</t>
  </si>
  <si>
    <t>Software</t>
  </si>
  <si>
    <t>Github Enterprise</t>
  </si>
  <si>
    <t>Annual subscription amortized</t>
  </si>
  <si>
    <t>Qodo AI</t>
  </si>
  <si>
    <t>Premium tier</t>
  </si>
  <si>
    <t>Infrastructure</t>
  </si>
  <si>
    <t>AWS</t>
  </si>
  <si>
    <t>Heavy data transfer</t>
  </si>
  <si>
    <t>Cloudflare</t>
  </si>
  <si>
    <t>Basic protection</t>
  </si>
  <si>
    <t>Chajio Linux VPS</t>
  </si>
  <si>
    <t>Primary web server</t>
  </si>
  <si>
    <t>Safaricom Business Internet</t>
  </si>
  <si>
    <t>Fiber link</t>
  </si>
  <si>
    <t>Rent</t>
  </si>
  <si>
    <t>Monthly Office Rent</t>
  </si>
  <si>
    <t>Google Workspace</t>
  </si>
  <si>
    <t>Monthly Google Workspace Subscription</t>
  </si>
  <si>
    <t>Sentry</t>
  </si>
  <si>
    <t>Montly Sentry subscription fees</t>
  </si>
  <si>
    <t>Augment Code</t>
  </si>
  <si>
    <t>Augment code montly subscription fees</t>
  </si>
  <si>
    <t>Resend</t>
  </si>
  <si>
    <t>Montly Resend subscription fees</t>
  </si>
  <si>
    <t>Refreshments</t>
  </si>
  <si>
    <t>Water, Coffee</t>
  </si>
  <si>
    <t>Total Cost (USD)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</si>
</sst>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Monthly Co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e Chart Spending Distribu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 Chart Spending Distribu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Spending Distribution by Category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 Spending Distribution'!$A$3:$A$6</c:f>
            </c:strRef>
          </c:cat>
          <c:val>
            <c:numRef>
              <c:f>'Pie Chart Spending Distribution'!$B$3:$B$6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33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Cost (USD)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'Bar Chart Spending Distribution'!$A$3:$A$6</c:f>
            </c:strRef>
          </c:cat>
          <c:val>
            <c:numRef>
              <c:f>'Bar Chart Spending Distribution'!$B$3:$B$6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'Bar Chart Spending Distribution'!$A$3:$A$6</c:f>
            </c:strRef>
          </c:cat>
          <c:val>
            <c:numRef>
              <c:f>'Bar Chart Spending Distribution'!$C$3:$C$6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'Bar Chart Spending Distribution'!$A$3:$A$6</c:f>
            </c:strRef>
          </c:cat>
          <c:val>
            <c:numRef>
              <c:f>'Bar Chart Spending Distribution'!$D$3:$D$6</c:f>
              <c:numCache/>
            </c:numRef>
          </c:val>
        </c:ser>
        <c:overlap val="100"/>
        <c:axId val="968778207"/>
        <c:axId val="1368942300"/>
      </c:barChart>
      <c:catAx>
        <c:axId val="968778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942300"/>
      </c:catAx>
      <c:valAx>
        <c:axId val="1368942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Infrastructure, Software, Utility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778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4" displayName="Table1" name="Table1" id="1">
  <tableColumns count="10">
    <tableColumn name="Month" id="1"/>
    <tableColumn name="Category" id="2"/>
    <tableColumn name="Service/Vendor" id="3"/>
    <tableColumn name="Cost (USD)" id="4"/>
    <tableColumn name="Payment Status" id="5"/>
    <tableColumn name="Notes" id="6"/>
    <tableColumn name="Total Monthly Cost" id="7"/>
    <tableColumn name="Utility Total Cost" id="8"/>
    <tableColumn name="Software Total Cost" id="9"/>
    <tableColumn name="Infrastructure Total Cost" id="10"/>
  </tableColumns>
  <tableStyleInfo name="Monthly Costs-style" showColumnStripes="0" showFirstColumn="1" showLastColumn="1" showRowStripes="1"/>
</table>
</file>

<file path=xl/tables/table2.xml><?xml version="1.0" encoding="utf-8"?>
<table xmlns="http://schemas.openxmlformats.org/spreadsheetml/2006/main" ref="A3:B6" displayName="Spending_Distribution_by_Category" name="Spending_Distribution_by_Category" id="2">
  <tableColumns count="2">
    <tableColumn name="Category" id="1"/>
    <tableColumn name="Total Cost (USD)" id="2"/>
  </tableColumns>
  <tableStyleInfo name="Pie Chart Spending Distribution-style" showColumnStripes="0" showFirstColumn="1" showLastColumn="1" showRowStripes="1"/>
</table>
</file>

<file path=xl/tables/table3.xml><?xml version="1.0" encoding="utf-8"?>
<table xmlns="http://schemas.openxmlformats.org/spreadsheetml/2006/main" ref="A3:D6" displayName="Total_Cost_USD_by_Category" name="Total_Cost_USD_by_Category" id="3">
  <tableColumns count="4">
    <tableColumn name="Category" id="1"/>
    <tableColumn name="Infrastructure" id="2"/>
    <tableColumn name="Software" id="3"/>
    <tableColumn name="Utility" id="4"/>
  </tableColumns>
  <tableStyleInfo name="Bar Chart Spending Distribu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5.5"/>
    <col customWidth="1" min="3" max="3" width="24.75"/>
    <col customWidth="1" min="4" max="4" width="17.5"/>
    <col customWidth="1" min="5" max="5" width="21.5"/>
    <col customWidth="1" min="6" max="10" width="3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46023.0</v>
      </c>
      <c r="B2" s="3" t="s">
        <v>10</v>
      </c>
      <c r="C2" s="4" t="s">
        <v>11</v>
      </c>
      <c r="D2" s="5">
        <v>23.0</v>
      </c>
      <c r="E2" s="6" t="b">
        <v>1</v>
      </c>
      <c r="F2" s="4" t="s">
        <v>12</v>
      </c>
      <c r="G2" s="4"/>
      <c r="H2" s="4">
        <f>SUMIF(B:B, "Utility", D:D)</f>
        <v>511</v>
      </c>
      <c r="I2" s="4">
        <f>SUMIF(B:B, "Software", D:D)</f>
        <v>225</v>
      </c>
      <c r="J2" s="4">
        <f>SUMIF(B:B, "Infrastructure", D:D)</f>
        <v>545</v>
      </c>
    </row>
    <row r="3" ht="22.5" customHeight="1">
      <c r="A3" s="7">
        <v>46023.0</v>
      </c>
      <c r="B3" s="8" t="s">
        <v>13</v>
      </c>
      <c r="C3" s="9" t="s">
        <v>14</v>
      </c>
      <c r="D3" s="5">
        <v>84.0</v>
      </c>
      <c r="E3" s="6" t="b">
        <v>1</v>
      </c>
      <c r="F3" s="9" t="s">
        <v>15</v>
      </c>
      <c r="G3" s="9"/>
      <c r="H3" s="9"/>
      <c r="I3" s="9"/>
      <c r="J3" s="9"/>
    </row>
    <row r="4" ht="22.5" customHeight="1">
      <c r="A4" s="7">
        <v>46023.0</v>
      </c>
      <c r="B4" s="8" t="s">
        <v>13</v>
      </c>
      <c r="C4" s="9" t="s">
        <v>16</v>
      </c>
      <c r="D4" s="5">
        <v>38.0</v>
      </c>
      <c r="E4" s="6" t="b">
        <v>0</v>
      </c>
      <c r="F4" s="9" t="s">
        <v>17</v>
      </c>
      <c r="G4" s="9"/>
      <c r="H4" s="9"/>
      <c r="I4" s="9"/>
      <c r="J4" s="9"/>
    </row>
    <row r="5" ht="22.5" customHeight="1">
      <c r="A5" s="7">
        <v>46023.0</v>
      </c>
      <c r="B5" s="8" t="s">
        <v>18</v>
      </c>
      <c r="C5" s="9" t="s">
        <v>19</v>
      </c>
      <c r="D5" s="5">
        <v>430.0</v>
      </c>
      <c r="E5" s="6" t="b">
        <v>0</v>
      </c>
      <c r="F5" s="9" t="s">
        <v>20</v>
      </c>
      <c r="G5" s="9"/>
      <c r="H5" s="9"/>
      <c r="I5" s="9"/>
      <c r="J5" s="9"/>
    </row>
    <row r="6" ht="22.5" customHeight="1">
      <c r="A6" s="7">
        <v>46023.0</v>
      </c>
      <c r="B6" s="8" t="s">
        <v>18</v>
      </c>
      <c r="C6" s="9" t="s">
        <v>21</v>
      </c>
      <c r="D6" s="5">
        <v>20.0</v>
      </c>
      <c r="E6" s="6" t="b">
        <v>0</v>
      </c>
      <c r="F6" s="9" t="s">
        <v>22</v>
      </c>
      <c r="G6" s="9"/>
      <c r="H6" s="9"/>
      <c r="I6" s="9"/>
      <c r="J6" s="9"/>
    </row>
    <row r="7" ht="22.5" customHeight="1">
      <c r="A7" s="7">
        <v>46023.0</v>
      </c>
      <c r="B7" s="8" t="s">
        <v>18</v>
      </c>
      <c r="C7" s="4" t="s">
        <v>23</v>
      </c>
      <c r="D7" s="5">
        <v>46.0</v>
      </c>
      <c r="E7" s="6" t="b">
        <v>0</v>
      </c>
      <c r="F7" s="4" t="s">
        <v>24</v>
      </c>
      <c r="G7" s="9"/>
      <c r="H7" s="9"/>
      <c r="I7" s="9"/>
      <c r="J7" s="9"/>
    </row>
    <row r="8" ht="22.5" customHeight="1">
      <c r="A8" s="7">
        <v>46023.0</v>
      </c>
      <c r="B8" s="8" t="s">
        <v>10</v>
      </c>
      <c r="C8" s="4" t="s">
        <v>25</v>
      </c>
      <c r="D8" s="5">
        <v>38.0</v>
      </c>
      <c r="E8" s="6" t="b">
        <v>1</v>
      </c>
      <c r="F8" s="9" t="s">
        <v>26</v>
      </c>
      <c r="G8" s="9"/>
      <c r="H8" s="9"/>
      <c r="I8" s="9"/>
      <c r="J8" s="9"/>
    </row>
    <row r="9" ht="22.5" customHeight="1">
      <c r="A9" s="10">
        <v>46023.0</v>
      </c>
      <c r="B9" s="11" t="s">
        <v>10</v>
      </c>
      <c r="C9" s="12" t="s">
        <v>27</v>
      </c>
      <c r="D9" s="13">
        <v>300.0</v>
      </c>
      <c r="E9" s="14" t="b">
        <v>1</v>
      </c>
      <c r="F9" s="12" t="s">
        <v>28</v>
      </c>
      <c r="G9" s="15"/>
      <c r="H9" s="15"/>
      <c r="I9" s="15"/>
      <c r="J9" s="15"/>
    </row>
    <row r="10" ht="22.5" customHeight="1">
      <c r="A10" s="10">
        <v>46023.0</v>
      </c>
      <c r="B10" s="11" t="s">
        <v>13</v>
      </c>
      <c r="C10" s="12" t="s">
        <v>29</v>
      </c>
      <c r="D10" s="13">
        <v>43.0</v>
      </c>
      <c r="E10" s="14" t="b">
        <v>1</v>
      </c>
      <c r="F10" s="12" t="s">
        <v>30</v>
      </c>
      <c r="G10" s="15"/>
      <c r="H10" s="15"/>
      <c r="I10" s="15"/>
      <c r="J10" s="15"/>
    </row>
    <row r="11" ht="22.5" customHeight="1">
      <c r="A11" s="10">
        <v>46023.0</v>
      </c>
      <c r="B11" s="11" t="s">
        <v>18</v>
      </c>
      <c r="C11" s="12" t="s">
        <v>31</v>
      </c>
      <c r="D11" s="13">
        <v>29.0</v>
      </c>
      <c r="E11" s="14" t="b">
        <v>0</v>
      </c>
      <c r="F11" s="12" t="s">
        <v>32</v>
      </c>
      <c r="G11" s="15"/>
      <c r="H11" s="15"/>
      <c r="I11" s="15"/>
      <c r="J11" s="15"/>
    </row>
    <row r="12" ht="22.5" customHeight="1">
      <c r="A12" s="10">
        <v>46023.0</v>
      </c>
      <c r="B12" s="11" t="s">
        <v>13</v>
      </c>
      <c r="C12" s="12" t="s">
        <v>33</v>
      </c>
      <c r="D12" s="13">
        <v>60.0</v>
      </c>
      <c r="E12" s="14" t="b">
        <v>0</v>
      </c>
      <c r="F12" s="12" t="s">
        <v>34</v>
      </c>
      <c r="G12" s="15"/>
      <c r="H12" s="15"/>
      <c r="I12" s="15"/>
      <c r="J12" s="15"/>
    </row>
    <row r="13" ht="22.5" customHeight="1">
      <c r="A13" s="10">
        <v>46023.0</v>
      </c>
      <c r="B13" s="11" t="s">
        <v>18</v>
      </c>
      <c r="C13" s="12" t="s">
        <v>35</v>
      </c>
      <c r="D13" s="13">
        <v>20.0</v>
      </c>
      <c r="E13" s="14" t="b">
        <v>0</v>
      </c>
      <c r="F13" s="12" t="s">
        <v>36</v>
      </c>
      <c r="G13" s="15"/>
      <c r="H13" s="15"/>
      <c r="I13" s="15"/>
      <c r="J13" s="15"/>
    </row>
    <row r="14" ht="22.5" customHeight="1">
      <c r="A14" s="10">
        <v>46023.0</v>
      </c>
      <c r="B14" s="11" t="s">
        <v>10</v>
      </c>
      <c r="C14" s="12" t="s">
        <v>37</v>
      </c>
      <c r="D14" s="13">
        <v>150.0</v>
      </c>
      <c r="E14" s="14" t="b">
        <v>0</v>
      </c>
      <c r="F14" s="12" t="s">
        <v>38</v>
      </c>
      <c r="G14" s="15"/>
      <c r="H14" s="15"/>
      <c r="I14" s="15"/>
      <c r="J14" s="15"/>
    </row>
  </sheetData>
  <customSheetViews>
    <customSheetView guid="{59B19B48-0784-49DA-87EE-3D2F031A0DD7}" filter="1" showAutoFilter="1">
      <autoFilter ref="$A$1:$J$14"/>
    </customSheetView>
    <customSheetView guid="{A611617D-3EB8-4193-BFC7-0E1CD3B7C558}" filter="1" showAutoFilter="1">
      <autoFilter ref="$A$1:$J$14"/>
    </customSheetView>
  </customSheetViews>
  <dataValidations>
    <dataValidation type="custom" allowBlank="1" showDropDown="1" sqref="A2:A14">
      <formula1>OR(NOT(ISERROR(DATEVALUE(A2))), AND(ISNUMBER(A2), LEFT(CELL("format", A2))="D"))</formula1>
    </dataValidation>
    <dataValidation type="custom" allowBlank="1" showDropDown="1" sqref="D2:D14">
      <formula1>AND(ISNUMBER(D2),(NOT(OR(NOT(ISERROR(DATEVALUE(D2))), AND(ISNUMBER(D2), LEFT(CELL("format", D2))="D")))))</formula1>
    </dataValidation>
    <dataValidation type="list" allowBlank="1" sqref="B2:B14">
      <formula1>"Software,Software,Infrastructure,Infrastructure,Infrastructure,Utility,Software,Software,Infrastructure,Infrastructure,Infrastructure,Utility"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1" t="s">
        <v>1</v>
      </c>
      <c r="B3" s="1" t="s">
        <v>39</v>
      </c>
    </row>
    <row r="4" ht="22.5" customHeight="1">
      <c r="A4" s="9" t="s">
        <v>18</v>
      </c>
      <c r="B4" s="5">
        <v>545.0</v>
      </c>
    </row>
    <row r="5" ht="22.5" customHeight="1">
      <c r="A5" s="9" t="s">
        <v>13</v>
      </c>
      <c r="B5" s="5">
        <v>225.0</v>
      </c>
    </row>
    <row r="6" ht="22.5" customHeight="1">
      <c r="A6" s="9" t="s">
        <v>10</v>
      </c>
      <c r="B6" s="5">
        <v>511.0</v>
      </c>
    </row>
  </sheetData>
  <dataValidations>
    <dataValidation type="custom" allowBlank="1" showDropDown="1" sqref="B4:B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2.63"/>
  </cols>
  <sheetData>
    <row r="1" ht="225.0" customHeight="1"/>
    <row r="3" ht="22.5" customHeight="1">
      <c r="A3" s="1" t="s">
        <v>1</v>
      </c>
      <c r="B3" s="1" t="s">
        <v>18</v>
      </c>
      <c r="C3" s="1" t="s">
        <v>13</v>
      </c>
      <c r="D3" s="1" t="s">
        <v>10</v>
      </c>
    </row>
    <row r="4" ht="22.5" customHeight="1">
      <c r="A4" s="9" t="s">
        <v>18</v>
      </c>
      <c r="B4" s="5">
        <v>545.0</v>
      </c>
      <c r="C4" s="9"/>
      <c r="D4" s="9"/>
    </row>
    <row r="5" ht="22.5" customHeight="1">
      <c r="A5" s="9" t="s">
        <v>13</v>
      </c>
      <c r="B5" s="9"/>
      <c r="C5" s="5">
        <v>225.0</v>
      </c>
      <c r="D5" s="9"/>
    </row>
    <row r="6" ht="22.5" customHeight="1">
      <c r="A6" s="9" t="s">
        <v>10</v>
      </c>
      <c r="B6" s="9"/>
      <c r="C6" s="9"/>
      <c r="D6" s="5">
        <v>511.0</v>
      </c>
    </row>
  </sheetData>
  <dataValidations>
    <dataValidation type="custom" allowBlank="1" showDropDown="1" sqref="B4:D6">
      <formula1>AND(ISNUMBER(B4),(NOT(OR(NOT(ISERROR(DATEVALUE(B4))), AND(ISNUMBER(B4), LEFT(CELL("format", B4))="D")))))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